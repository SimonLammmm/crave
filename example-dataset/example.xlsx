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m02/Downloads/example-dataset/"/>
    </mc:Choice>
  </mc:AlternateContent>
  <xr:revisionPtr revIDLastSave="0" documentId="13_ncr:1_{7A4BCE1C-4044-9544-A31E-371302CC61A8}" xr6:coauthVersionLast="47" xr6:coauthVersionMax="47" xr10:uidLastSave="{00000000-0000-0000-0000-000000000000}"/>
  <bookViews>
    <workbookView xWindow="14340" yWindow="4500" windowWidth="36860" windowHeight="21100" activeTab="3" xr2:uid="{00000000-000D-0000-FFFF-FFFF00000000}"/>
  </bookViews>
  <sheets>
    <sheet name="Experiment details" sheetId="1" r:id="rId1"/>
    <sheet name="Sample details" sheetId="2" r:id="rId2"/>
    <sheet name="Control groups" sheetId="3" r:id="rId3"/>
    <sheet name="Analyses" sheetId="5" r:id="rId4"/>
    <sheet name="gubbins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5" l="1"/>
  <c r="B2" i="5"/>
  <c r="A1" i="6" a="1"/>
  <c r="A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C. Thomas</author>
  </authors>
  <commentList>
    <comment ref="A10" authorId="0" shapeId="0" xr:uid="{EC856BF7-5DB3-4FE4-84EE-8DB9186945B6}">
      <text>
        <r>
          <rPr>
            <b/>
            <sz val="9"/>
            <color rgb="FF000000"/>
            <rFont val="Tahoma"/>
            <family val="2"/>
          </rPr>
          <t>John C. Thomas: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MLA style, copy paste from Google Scholar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C. Thomas</author>
  </authors>
  <commentList>
    <comment ref="A1" authorId="0" shapeId="0" xr:uid="{A2C7780A-B8D1-3C47-BF2B-F2B83A85B697}">
      <text>
        <r>
          <rPr>
            <b/>
            <sz val="10"/>
            <color rgb="FF000000"/>
            <rFont val="Tahoma"/>
            <family val="2"/>
          </rPr>
          <t>Match what's in count file.</t>
        </r>
      </text>
    </comment>
    <comment ref="B1" authorId="0" shapeId="0" xr:uid="{D1BEA76C-19C0-1244-AD2C-7E4FBDBAD3CE}">
      <text>
        <r>
          <rPr>
            <sz val="10"/>
            <color rgb="FF000000"/>
            <rFont val="Tahoma"/>
            <family val="2"/>
          </rPr>
          <t>Group reps by giving them the same Sample name. This will be used in file names so keep it alpha numeric.</t>
        </r>
      </text>
    </comment>
    <comment ref="M1" authorId="0" shapeId="0" xr:uid="{DF922E7A-61BE-DE4D-B528-0CA06AE3812B}">
      <text>
        <r>
          <rPr>
            <b/>
            <sz val="10"/>
            <color rgb="FF000000"/>
            <rFont val="Tahoma"/>
            <family val="2"/>
          </rPr>
          <t>Anything weird about this specifc replicate?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Lam</author>
    <author>John C. Thomas</author>
  </authors>
  <commentList>
    <comment ref="C1" authorId="0" shapeId="0" xr:uid="{8A32C998-D466-D94B-B2FE-D563BEED3435}">
      <text>
        <r>
          <rPr>
            <sz val="10"/>
            <color rgb="FF000000"/>
            <rFont val="Calibri"/>
            <family val="2"/>
            <scheme val="minor"/>
          </rPr>
          <t xml:space="preserve">Can be mageck, drugz, chronos
</t>
        </r>
      </text>
    </comment>
    <comment ref="F1" authorId="1" shapeId="0" xr:uid="{25590D93-0E5F-6548-88DA-DF8ADB4D6CF0}">
      <text>
        <r>
          <rPr>
            <sz val="10"/>
            <color rgb="FF000000"/>
            <rFont val="Tahoma"/>
            <family val="2"/>
          </rPr>
          <t>Adding anything here will override the default args.</t>
        </r>
      </text>
    </comment>
    <comment ref="G1" authorId="1" shapeId="0" xr:uid="{60B39C58-DE8D-9446-B6BA-210690A4709F}">
      <text>
        <r>
          <rPr>
            <sz val="10"/>
            <color rgb="FF000000"/>
            <rFont val="Tahoma"/>
            <family val="2"/>
          </rPr>
          <t>Is used to just run specific analyses from the command line.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<sst xmlns="http://schemas.openxmlformats.org/spreadsheetml/2006/main" count="85" uniqueCount="62">
  <si>
    <t>Library</t>
  </si>
  <si>
    <t>Multiplicity of infection</t>
  </si>
  <si>
    <t>Representation average</t>
  </si>
  <si>
    <t>Replicate</t>
  </si>
  <si>
    <t>Sample</t>
  </si>
  <si>
    <t>Treatment</t>
  </si>
  <si>
    <t>Dose</t>
  </si>
  <si>
    <t>Growth inhibition %</t>
  </si>
  <si>
    <t>Clone</t>
  </si>
  <si>
    <t>Cell line</t>
  </si>
  <si>
    <t>Notes</t>
  </si>
  <si>
    <t>Label</t>
  </si>
  <si>
    <t>Days grown</t>
  </si>
  <si>
    <t>Doublings</t>
  </si>
  <si>
    <t>KO</t>
  </si>
  <si>
    <t>Experiment name</t>
  </si>
  <si>
    <t>Date published</t>
  </si>
  <si>
    <t>Group</t>
  </si>
  <si>
    <t>Control sample</t>
  </si>
  <si>
    <t>Test sample</t>
  </si>
  <si>
    <t>Control group</t>
  </si>
  <si>
    <t>Paired</t>
  </si>
  <si>
    <t>Method</t>
  </si>
  <si>
    <t>Arguments</t>
  </si>
  <si>
    <t>Counts file</t>
  </si>
  <si>
    <t>Add pseudocount</t>
  </si>
  <si>
    <t>DOI</t>
  </si>
  <si>
    <t>Name</t>
  </si>
  <si>
    <t>Contrast</t>
  </si>
  <si>
    <t>Experiment description</t>
  </si>
  <si>
    <t>Notes about the analysis, e.g. a sample was excluded</t>
  </si>
  <si>
    <t>A few sentences on the purpose of the experiment, and anything unusual in its design (e.g. it's a flow screen)</t>
  </si>
  <si>
    <t>Reference</t>
  </si>
  <si>
    <t>In e.g. MLA format</t>
  </si>
  <si>
    <t>Used as ID in database</t>
  </si>
  <si>
    <t>YYYY-MM-DD</t>
  </si>
  <si>
    <t>Full URL or just the numbers works</t>
  </si>
  <si>
    <t>Use consistent names for the library, e.g. in Exorcise outputs.</t>
  </si>
  <si>
    <t>Organism</t>
  </si>
  <si>
    <t>Trajectory</t>
  </si>
  <si>
    <t>fromstart</t>
  </si>
  <si>
    <t>endpoints</t>
  </si>
  <si>
    <t>2026-05-14</t>
  </si>
  <si>
    <t>Brunello</t>
  </si>
  <si>
    <t>Human</t>
  </si>
  <si>
    <t>SRR9926527_untreatedA_small</t>
  </si>
  <si>
    <t>SRR9926528_untreatedB_small</t>
  </si>
  <si>
    <t>SRR9926533_olaparibA_small</t>
  </si>
  <si>
    <t>SRR9926542_plasmid_small</t>
  </si>
  <si>
    <t>SRR9926561_olaparibB_small</t>
  </si>
  <si>
    <t>ut</t>
  </si>
  <si>
    <t>olap</t>
  </si>
  <si>
    <t>plasmid</t>
  </si>
  <si>
    <t>No treatment</t>
  </si>
  <si>
    <t>Olaparib</t>
  </si>
  <si>
    <t>19</t>
  </si>
  <si>
    <t>0</t>
  </si>
  <si>
    <t>Essentialome</t>
  </si>
  <si>
    <t>drugz</t>
  </si>
  <si>
    <t>example.counts.tsv.gz</t>
  </si>
  <si>
    <t>example</t>
  </si>
  <si>
    <t>Example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</si>
</sst>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2F2F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2F2F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ar(--jp-code-font-family)"/>
    </font>
    <font>
      <sz val="11"/>
      <color rgb="FF505050"/>
      <name val="Arial"/>
      <family val="2"/>
    </font>
    <font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49" fontId="0" fillId="0" borderId="0" xfId="0" applyNumberFormat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49" fontId="7" fillId="0" borderId="0" xfId="0" applyNumberFormat="1" applyFont="1"/>
    <xf numFmtId="49" fontId="2" fillId="0" borderId="0" xfId="0" applyNumberFormat="1" applyFont="1"/>
    <xf numFmtId="0" fontId="6" fillId="0" borderId="0" xfId="0" applyFont="1"/>
    <xf numFmtId="49" fontId="2" fillId="0" borderId="1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49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05050"/>
        <name val="Arial"/>
        <family val="2"/>
        <scheme val="none"/>
      </font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2F2F2"/>
        <name val="Calibri"/>
        <family val="2"/>
        <scheme val="minor"/>
      </font>
      <fill>
        <patternFill patternType="solid">
          <fgColor indexed="64"/>
          <bgColor rgb="FF000000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63A21-9CD2-8D4F-871C-3B6CE038B02C}" name="samp_deets2" displayName="samp_deets2" ref="A1:M11" totalsRowShown="0" headerRowDxfId="12" dataDxfId="11">
  <autoFilter ref="A1:M11" xr:uid="{E0A63A21-9CD2-8D4F-871C-3B6CE038B02C}"/>
  <tableColumns count="13">
    <tableColumn id="1" xr3:uid="{4A7B1510-870A-E341-BD37-430A1066E449}" name="Replicate"/>
    <tableColumn id="2" xr3:uid="{8287588F-8FD3-A646-94D4-43B56F35F2DB}" name="Sample"/>
    <tableColumn id="3" xr3:uid="{349D7A1F-9830-4C45-8AEF-C7842342C8FF}" name="Label" dataDxfId="10"/>
    <tableColumn id="4" xr3:uid="{98385D66-7ED3-7749-80A3-94C7E96E4451}" name="Treatment" dataDxfId="9"/>
    <tableColumn id="5" xr3:uid="{52166F07-06B2-404F-A476-58B2DB13078C}" name="Dose" dataDxfId="8"/>
    <tableColumn id="6" xr3:uid="{ED651564-84AB-EF4D-AC19-AF0345918764}" name="Growth inhibition %" dataDxfId="7"/>
    <tableColumn id="7" xr3:uid="{D241A1B9-B2EA-CE47-9E53-EBF0981EBAC4}" name="Days grown" dataDxfId="6"/>
    <tableColumn id="8" xr3:uid="{175C51C1-979B-3A47-B7CF-FBBA4D85DB6F}" name="Doublings" dataDxfId="5"/>
    <tableColumn id="13" xr3:uid="{F9000F6D-8BFF-6E49-AA2D-ADCF586A81C1}" name="Trajectory" dataDxfId="4"/>
    <tableColumn id="9" xr3:uid="{67C7EB45-33AD-D543-B5E9-19070BE9652F}" name="Clone" dataDxfId="3"/>
    <tableColumn id="10" xr3:uid="{64051FFB-C55B-3E4E-8589-AF512E28AA60}" name="Cell line" dataDxfId="2"/>
    <tableColumn id="11" xr3:uid="{97C52B05-0225-BE45-A58B-1C32FFD7DC11}" name="KO" dataDxfId="1"/>
    <tableColumn id="12" xr3:uid="{60C18679-5B03-2049-AEEB-5B6CFE4800AF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85" zoomScaleNormal="85" workbookViewId="0">
      <selection activeCell="B11" sqref="B11"/>
    </sheetView>
  </sheetViews>
  <sheetFormatPr baseColWidth="10" defaultColWidth="8.83203125" defaultRowHeight="15"/>
  <cols>
    <col min="1" max="1" width="34.6640625" customWidth="1"/>
    <col min="2" max="2" width="100.6640625" style="2" customWidth="1"/>
  </cols>
  <sheetData>
    <row r="1" spans="1:3" ht="20">
      <c r="A1" s="1" t="s">
        <v>15</v>
      </c>
      <c r="B1" s="10" t="s">
        <v>60</v>
      </c>
      <c r="C1" t="s">
        <v>34</v>
      </c>
    </row>
    <row r="2" spans="1:3" ht="20">
      <c r="A2" s="1" t="s">
        <v>16</v>
      </c>
      <c r="B2" s="11" t="s">
        <v>42</v>
      </c>
      <c r="C2" t="s">
        <v>35</v>
      </c>
    </row>
    <row r="3" spans="1:3" ht="20">
      <c r="A3" s="1" t="s">
        <v>0</v>
      </c>
      <c r="B3" s="11" t="s">
        <v>43</v>
      </c>
      <c r="C3" t="s">
        <v>37</v>
      </c>
    </row>
    <row r="4" spans="1:3" ht="20">
      <c r="A4" s="1" t="s">
        <v>1</v>
      </c>
      <c r="B4" s="11"/>
    </row>
    <row r="5" spans="1:3" ht="20">
      <c r="A5" s="1" t="s">
        <v>2</v>
      </c>
      <c r="B5" s="11"/>
    </row>
    <row r="6" spans="1:3" ht="20">
      <c r="A6" s="1" t="s">
        <v>38</v>
      </c>
      <c r="B6" s="11" t="s">
        <v>44</v>
      </c>
    </row>
    <row r="7" spans="1:3" ht="20">
      <c r="A7" s="1" t="s">
        <v>29</v>
      </c>
      <c r="B7" s="11"/>
      <c r="C7" t="s">
        <v>31</v>
      </c>
    </row>
    <row r="8" spans="1:3" ht="20">
      <c r="A8" s="1" t="s">
        <v>10</v>
      </c>
      <c r="B8" s="12"/>
      <c r="C8" s="2" t="s">
        <v>30</v>
      </c>
    </row>
    <row r="9" spans="1:3" ht="20">
      <c r="A9" s="1" t="s">
        <v>26</v>
      </c>
      <c r="B9" s="12"/>
      <c r="C9" t="s">
        <v>36</v>
      </c>
    </row>
    <row r="10" spans="1:3" ht="21" thickBot="1">
      <c r="A10" s="1" t="s">
        <v>32</v>
      </c>
      <c r="B10" s="13" t="s">
        <v>61</v>
      </c>
      <c r="C10" t="s">
        <v>33</v>
      </c>
    </row>
  </sheetData>
  <dataValidations count="1">
    <dataValidation type="custom" allowBlank="1" showInputMessage="1" showErrorMessage="1" errorTitle="Alphanumeric only" error="Alphanumeric only." sqref="B1" xr:uid="{50DA87F9-C9A8-AD4D-851D-DCA4B42EAA51}">
      <formula1>ISNUMBER(SUMPRODUCT(SEARCH(MID(B1,ROW(INDIRECT("1:"&amp;LEN(B1))),1),"_0123456789abcdefghijklmnopqrstuvwxyzABCDEFGHIJKLMNOPQRSTUVWXYZ")))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C15" sqref="C15"/>
    </sheetView>
  </sheetViews>
  <sheetFormatPr baseColWidth="10" defaultColWidth="8.83203125" defaultRowHeight="15"/>
  <cols>
    <col min="1" max="1" width="30.6640625" bestFit="1" customWidth="1"/>
    <col min="2" max="2" width="20.33203125" customWidth="1"/>
    <col min="3" max="3" width="14.6640625" customWidth="1"/>
    <col min="4" max="4" width="19.33203125" bestFit="1" customWidth="1"/>
    <col min="5" max="5" width="14.6640625" customWidth="1"/>
    <col min="6" max="6" width="23.33203125" customWidth="1"/>
    <col min="7" max="7" width="15" customWidth="1"/>
    <col min="8" max="10" width="14.6640625" customWidth="1"/>
    <col min="11" max="11" width="17" bestFit="1" customWidth="1"/>
    <col min="12" max="12" width="17" customWidth="1"/>
    <col min="13" max="13" width="14.6640625" customWidth="1"/>
  </cols>
  <sheetData>
    <row r="1" spans="1:13" ht="20">
      <c r="A1" s="1" t="s">
        <v>3</v>
      </c>
      <c r="B1" s="1" t="s">
        <v>4</v>
      </c>
      <c r="C1" s="3" t="s">
        <v>11</v>
      </c>
      <c r="D1" s="1" t="s">
        <v>5</v>
      </c>
      <c r="E1" s="1" t="s">
        <v>6</v>
      </c>
      <c r="F1" s="1" t="s">
        <v>7</v>
      </c>
      <c r="G1" s="1" t="s">
        <v>12</v>
      </c>
      <c r="H1" s="4" t="s">
        <v>13</v>
      </c>
      <c r="I1" s="4" t="s">
        <v>39</v>
      </c>
      <c r="J1" s="1" t="s">
        <v>8</v>
      </c>
      <c r="K1" s="1" t="s">
        <v>9</v>
      </c>
      <c r="L1" s="1" t="s">
        <v>14</v>
      </c>
      <c r="M1" s="1" t="s">
        <v>10</v>
      </c>
    </row>
    <row r="2" spans="1:13" ht="22" customHeight="1">
      <c r="A2" t="s">
        <v>45</v>
      </c>
      <c r="B2" s="9" t="s">
        <v>50</v>
      </c>
      <c r="C2" s="2"/>
      <c r="D2" t="s">
        <v>53</v>
      </c>
      <c r="E2" s="7"/>
      <c r="F2" s="8"/>
      <c r="G2" s="8" t="s">
        <v>55</v>
      </c>
      <c r="H2" s="8"/>
      <c r="I2" s="9" t="s">
        <v>50</v>
      </c>
      <c r="J2" s="8"/>
    </row>
    <row r="3" spans="1:13" ht="19">
      <c r="A3" t="s">
        <v>46</v>
      </c>
      <c r="B3" s="9" t="s">
        <v>50</v>
      </c>
      <c r="C3" s="2"/>
      <c r="D3" t="s">
        <v>53</v>
      </c>
      <c r="E3" s="7"/>
      <c r="F3" s="8"/>
      <c r="G3" s="8" t="s">
        <v>55</v>
      </c>
      <c r="H3" s="8"/>
      <c r="I3" s="9" t="s">
        <v>50</v>
      </c>
      <c r="J3" s="8"/>
    </row>
    <row r="4" spans="1:13" ht="19">
      <c r="A4" t="s">
        <v>47</v>
      </c>
      <c r="B4" s="9" t="s">
        <v>51</v>
      </c>
      <c r="C4" s="2"/>
      <c r="D4" t="s">
        <v>54</v>
      </c>
      <c r="E4" s="7"/>
      <c r="F4" s="8"/>
      <c r="G4" s="8" t="s">
        <v>55</v>
      </c>
      <c r="H4" s="8"/>
      <c r="I4" s="9" t="s">
        <v>51</v>
      </c>
      <c r="J4" s="8"/>
    </row>
    <row r="5" spans="1:13" ht="19">
      <c r="A5" t="s">
        <v>48</v>
      </c>
      <c r="B5" s="9" t="s">
        <v>52</v>
      </c>
      <c r="C5" s="2"/>
      <c r="D5" t="s">
        <v>53</v>
      </c>
      <c r="E5" s="7"/>
      <c r="F5" s="8"/>
      <c r="G5" s="8" t="s">
        <v>56</v>
      </c>
      <c r="H5" s="8"/>
      <c r="I5" s="9" t="s">
        <v>52</v>
      </c>
      <c r="J5" s="8"/>
    </row>
    <row r="6" spans="1:13" ht="19">
      <c r="A6" t="s">
        <v>49</v>
      </c>
      <c r="B6" s="9" t="s">
        <v>51</v>
      </c>
      <c r="C6" s="2"/>
      <c r="D6" t="s">
        <v>54</v>
      </c>
      <c r="E6" s="7"/>
      <c r="F6" s="8"/>
      <c r="G6" s="8" t="s">
        <v>55</v>
      </c>
      <c r="H6" s="8"/>
      <c r="I6" s="9" t="s">
        <v>51</v>
      </c>
      <c r="J6" s="8"/>
    </row>
    <row r="7" spans="1:13" ht="19">
      <c r="B7" s="9"/>
      <c r="C7" s="2"/>
      <c r="E7" s="7"/>
      <c r="F7" s="8"/>
      <c r="G7" s="8"/>
      <c r="H7" s="8"/>
      <c r="I7" s="8"/>
      <c r="J7" s="8"/>
    </row>
    <row r="8" spans="1:13" ht="19">
      <c r="B8" s="9"/>
      <c r="C8" s="2"/>
      <c r="E8" s="7"/>
      <c r="F8" s="8"/>
      <c r="G8" s="8"/>
      <c r="H8" s="8"/>
      <c r="I8" s="8"/>
      <c r="J8" s="8"/>
    </row>
    <row r="9" spans="1:13" ht="19">
      <c r="B9" s="9"/>
      <c r="C9" s="2"/>
      <c r="E9" s="7"/>
      <c r="F9" s="8"/>
      <c r="G9" s="8"/>
      <c r="H9" s="8"/>
      <c r="I9" s="8"/>
      <c r="J9" s="8"/>
    </row>
    <row r="10" spans="1:13" ht="19">
      <c r="B10" s="9"/>
      <c r="C10" s="2"/>
      <c r="E10" s="7"/>
      <c r="F10" s="8"/>
      <c r="G10" s="8"/>
      <c r="H10" s="8"/>
      <c r="I10" s="8"/>
      <c r="J10" s="8"/>
    </row>
    <row r="11" spans="1:13" ht="19">
      <c r="B11" s="9"/>
      <c r="C11" s="2"/>
      <c r="E11" s="7"/>
      <c r="F11" s="8"/>
      <c r="G11" s="8"/>
      <c r="H11" s="8"/>
      <c r="I11" s="8"/>
      <c r="J11" s="8"/>
    </row>
  </sheetData>
  <phoneticPr fontId="5" type="noConversion"/>
  <dataValidations count="4">
    <dataValidation type="custom" allowBlank="1" showInputMessage="1" showErrorMessage="1" error="Alphanumeric and fullstop, dash and underscore allowed." sqref="A1:A1048576" xr:uid="{63798D91-C498-4E49-B344-04A1C50A54F8}">
      <formula1>ISNUMBER(SUMPRODUCT(SEARCH(MID(A1,ROW(INDIRECT("1:"&amp;LEN(A1))),1),"0123456789abcdefghijklmnopqrstuvwxyzABCDEFGHIJKLMNOPQRSTUVWXYZ.-_–")))</formula1>
    </dataValidation>
    <dataValidation type="custom" allowBlank="1" showInputMessage="1" showErrorMessage="1" errorTitle="Disallowed character" error="Alphanumeric and underscores only allowed for sample name" sqref="B1 B12:B1048576" xr:uid="{623F49ED-56E7-324A-A60D-33D3DBC40B4A}">
      <formula1>ISNUMBER(SUMPRODUCT(SEARCH(MID(B1,ROW(INDIRECT("1:"&amp;LEN(B1))),1),".+0123456789abcdefghijklmnopqrstuvwxyzABCDEFGHIJKLMNOPQRSTUVWXYZ_")))</formula1>
    </dataValidation>
    <dataValidation type="custom" allowBlank="1" showInputMessage="1" showErrorMessage="1" errorTitle="Disallowed character" error="Alphanumeric and underscores only allowed for sample name" sqref="B3:B11 I3:I6" xr:uid="{A7F92040-47E2-A048-B6EE-12FA19A04501}">
      <formula1>ISNUMBER(SUMPRODUCT(SEARCH(MID(B3,ROW(INDIRECT("1:"&amp;LEN(B3))),1),"0123456789abcdefghijklmnopqrstuvwxyzABCDEFGHIJKLMNOPQRSTUVWXYZ_+")))</formula1>
    </dataValidation>
    <dataValidation type="custom" allowBlank="1" showInputMessage="1" showErrorMessage="1" errorTitle="Disallowed character" error="Alphanumeric and underscores only allowed for sample name. _x000a__x000a_Sample information gets encoded into output file names so other characters can cause issues. Periods and dashes will definitely cause issues." sqref="B2 I2" xr:uid="{3311409A-3C35-594C-8482-10D739053B8B}">
      <formula1>ISNUMBER(SUMPRODUCT(SEARCH(MID(B2,ROW(INDIRECT("1:"&amp;LEN(B2))),1),"0123456789abcdefghijklmnopqrstuvwxyzABCDEFGHIJKLMNOPQRSTUVWXYZ_+")))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547F-8F24-4C5C-A576-33824D0B5E92}">
  <dimension ref="A1:F6"/>
  <sheetViews>
    <sheetView workbookViewId="0">
      <selection activeCell="C7" sqref="C7"/>
    </sheetView>
  </sheetViews>
  <sheetFormatPr baseColWidth="10" defaultColWidth="8.83203125" defaultRowHeight="15"/>
  <cols>
    <col min="1" max="1" width="16.5" customWidth="1"/>
    <col min="2" max="2" width="16.83203125" customWidth="1"/>
    <col min="3" max="4" width="19" customWidth="1"/>
  </cols>
  <sheetData>
    <row r="1" spans="1:6" ht="20">
      <c r="A1" s="1" t="s">
        <v>17</v>
      </c>
      <c r="B1" s="1" t="s">
        <v>18</v>
      </c>
      <c r="C1" s="1" t="s">
        <v>19</v>
      </c>
      <c r="D1" s="1" t="s">
        <v>28</v>
      </c>
      <c r="F1" s="6"/>
    </row>
    <row r="2" spans="1:6">
      <c r="A2" t="s">
        <v>41</v>
      </c>
      <c r="B2" t="s">
        <v>50</v>
      </c>
      <c r="C2" t="s">
        <v>51</v>
      </c>
      <c r="D2" t="s">
        <v>54</v>
      </c>
      <c r="F2" s="5"/>
    </row>
    <row r="3" spans="1:6">
      <c r="A3" t="s">
        <v>40</v>
      </c>
      <c r="B3" t="s">
        <v>52</v>
      </c>
      <c r="C3" t="s">
        <v>50</v>
      </c>
      <c r="D3" t="s">
        <v>57</v>
      </c>
    </row>
    <row r="6" spans="1:6">
      <c r="F6" s="5"/>
    </row>
  </sheetData>
  <dataValidations count="2">
    <dataValidation type="custom" allowBlank="1" showInputMessage="1" showErrorMessage="1" errorTitle="Disallowed character" error="Alphanumeric and underscores only allowed for sample name. _x000a__x000a_Sample information gets encoded into output file names so other characters can cause issues. Periods and dashes will definitely cause issues." sqref="B2 C3" xr:uid="{1D8C8D9D-AC7E-E942-866D-5038BF3829E2}">
      <formula1>ISNUMBER(SUMPRODUCT(SEARCH(MID(B2,ROW(INDIRECT("1:"&amp;LEN(B2))),1),"0123456789abcdefghijklmnopqrstuvwxyzABCDEFGHIJKLMNOPQRSTUVWXYZ_+")))</formula1>
    </dataValidation>
    <dataValidation type="custom" allowBlank="1" showInputMessage="1" showErrorMessage="1" errorTitle="Disallowed character" error="Alphanumeric and underscores only allowed for sample name" sqref="C2 B3" xr:uid="{A0C4C90D-F46D-4C44-A779-84A7FA306BA7}">
      <formula1>ISNUMBER(SUMPRODUCT(SEARCH(MID(B2,ROW(INDIRECT("1:"&amp;LEN(B2))),1),"0123456789abcdefghijklmnopqrstuvwxyzABCDEFGHIJKLMNOPQRSTUVWXYZ_+")))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sample" error="Sample name not found in &quot;Sample details&quot; sheet." xr:uid="{40BCA761-5902-8A40-8D47-2D2C964B9993}">
          <x14:formula1>
            <xm:f>gubbins!$A:$A</xm:f>
          </x14:formula1>
          <xm:sqref>B4:C98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645E-0A47-4C79-A34D-EC582264D863}">
  <dimension ref="A1:G3"/>
  <sheetViews>
    <sheetView tabSelected="1" workbookViewId="0">
      <selection activeCell="D2" sqref="D2"/>
    </sheetView>
  </sheetViews>
  <sheetFormatPr baseColWidth="10" defaultColWidth="10.5" defaultRowHeight="15"/>
  <cols>
    <col min="3" max="3" width="18.33203125" bestFit="1" customWidth="1"/>
    <col min="4" max="4" width="26.1640625" bestFit="1" customWidth="1"/>
    <col min="5" max="5" width="16.83203125" customWidth="1"/>
    <col min="6" max="6" width="38.83203125" bestFit="1" customWidth="1"/>
  </cols>
  <sheetData>
    <row r="1" spans="1:7" ht="40">
      <c r="A1" s="1" t="s">
        <v>20</v>
      </c>
      <c r="B1" s="1" t="s">
        <v>21</v>
      </c>
      <c r="C1" s="1" t="s">
        <v>22</v>
      </c>
      <c r="D1" s="1" t="s">
        <v>24</v>
      </c>
      <c r="E1" s="1" t="s">
        <v>25</v>
      </c>
      <c r="F1" s="1" t="s">
        <v>23</v>
      </c>
      <c r="G1" s="1" t="s">
        <v>27</v>
      </c>
    </row>
    <row r="2" spans="1:7">
      <c r="A2" t="s">
        <v>40</v>
      </c>
      <c r="B2" t="b">
        <f>FALSE</f>
        <v>0</v>
      </c>
      <c r="C2" t="s">
        <v>58</v>
      </c>
      <c r="D2" t="s">
        <v>59</v>
      </c>
      <c r="E2">
        <v>5</v>
      </c>
    </row>
    <row r="3" spans="1:7">
      <c r="A3" t="s">
        <v>41</v>
      </c>
      <c r="B3" t="b">
        <f>FALSE</f>
        <v>0</v>
      </c>
      <c r="C3" t="s">
        <v>58</v>
      </c>
      <c r="D3" t="s">
        <v>59</v>
      </c>
      <c r="E3">
        <v>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78C8-6454-CC4A-97A2-C0BE44EBD0EA}">
  <dimension ref="A1:A4"/>
  <sheetViews>
    <sheetView workbookViewId="0">
      <selection activeCell="A2" sqref="A2:XFD42"/>
    </sheetView>
  </sheetViews>
  <sheetFormatPr baseColWidth="10" defaultRowHeight="15"/>
  <sheetData>
    <row r="1" spans="1:1">
      <c r="A1" t="str" cm="1">
        <f t="array" ref="A1:A4">_xlfn.UNIQUE(samp_deets2[Sample])</f>
        <v>ut</v>
      </c>
    </row>
    <row r="2" spans="1:1">
      <c r="A2" t="str">
        <v>olap</v>
      </c>
    </row>
    <row r="3" spans="1:1">
      <c r="A3" t="str">
        <v>plasmid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 details</vt:lpstr>
      <vt:lpstr>Sample details</vt:lpstr>
      <vt:lpstr>Control groups</vt:lpstr>
      <vt:lpstr>Analyses</vt:lpstr>
      <vt:lpstr>gubbins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C. Thomas</dc:creator>
  <cp:lastModifiedBy>Simon Lam</cp:lastModifiedBy>
  <dcterms:created xsi:type="dcterms:W3CDTF">2019-04-03T15:16:00Z</dcterms:created>
  <dcterms:modified xsi:type="dcterms:W3CDTF">2026-07-06T14:58:36Z</dcterms:modified>
</cp:coreProperties>
</file>